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inerj\PycharmProjects\celnici_workshop_2026\thursday_motor_oil_prediction\inputs\"/>
    </mc:Choice>
  </mc:AlternateContent>
  <xr:revisionPtr revIDLastSave="0" documentId="13_ncr:1_{0FF5367D-6E7F-46EC-A2F5-BA7D47B03340}" xr6:coauthVersionLast="47" xr6:coauthVersionMax="47" xr10:uidLastSave="{00000000-0000-0000-0000-000000000000}"/>
  <bookViews>
    <workbookView xWindow="-24120" yWindow="-120" windowWidth="24240" windowHeight="175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1" l="1"/>
  <c r="D5" i="1"/>
  <c r="D6" i="1"/>
</calcChain>
</file>

<file path=xl/sharedStrings.xml><?xml version="1.0" encoding="utf-8"?>
<sst xmlns="http://schemas.openxmlformats.org/spreadsheetml/2006/main" count="19" uniqueCount="19">
  <si>
    <t>rok</t>
  </si>
  <si>
    <t>OA_benzin</t>
  </si>
  <si>
    <t>OA_nafta</t>
  </si>
  <si>
    <t>NA_benzin</t>
  </si>
  <si>
    <t>NA_nafta</t>
  </si>
  <si>
    <t>T_benzin</t>
  </si>
  <si>
    <t>T_nafta</t>
  </si>
  <si>
    <t>OA_elektro</t>
  </si>
  <si>
    <t>NA_elektro</t>
  </si>
  <si>
    <t>T_elektro</t>
  </si>
  <si>
    <t>Benzin</t>
  </si>
  <si>
    <t>Nafta</t>
  </si>
  <si>
    <t>BS_benzin</t>
  </si>
  <si>
    <t>BS_nafta</t>
  </si>
  <si>
    <t>BS_alektro</t>
  </si>
  <si>
    <t>OS</t>
  </si>
  <si>
    <t>NA</t>
  </si>
  <si>
    <t>T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</si>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</sst>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3" fontId="2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zoomScaleNormal="100" workbookViewId="0">
      <selection activeCell="A20" sqref="A20:B23"/>
    </sheetView>
  </sheetViews>
  <sheetFormatPr defaultRowHeight="15" x14ac:dyDescent="0.25"/>
  <cols>
    <col min="2" max="2" width="11.140625" bestFit="1" customWidth="1"/>
    <col min="4" max="4" width="10.7109375" bestFit="1" customWidth="1"/>
    <col min="5" max="6" width="9.28515625" bestFit="1" customWidth="1"/>
    <col min="7" max="7" width="11.140625" bestFit="1" customWidth="1"/>
    <col min="8" max="8" width="9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8</v>
      </c>
      <c r="H1" t="s">
        <v>5</v>
      </c>
      <c r="I1" t="s">
        <v>6</v>
      </c>
      <c r="J1" t="s">
        <v>9</v>
      </c>
      <c r="K1" t="s">
        <v>12</v>
      </c>
      <c r="L1" t="s">
        <v>13</v>
      </c>
      <c r="M1" t="s">
        <v>14</v>
      </c>
      <c r="N1" t="s">
        <v>10</v>
      </c>
      <c r="O1" t="s">
        <v>11</v>
      </c>
    </row>
    <row r="2" spans="1:15" x14ac:dyDescent="0.25">
      <c r="A2" s="1">
        <v>2013</v>
      </c>
      <c r="B2">
        <v>3196233</v>
      </c>
      <c r="C2">
        <v>1525690</v>
      </c>
      <c r="D2">
        <v>237</v>
      </c>
      <c r="E2">
        <v>93595</v>
      </c>
      <c r="F2">
        <v>497573</v>
      </c>
      <c r="G2">
        <v>2271</v>
      </c>
      <c r="H2">
        <v>17</v>
      </c>
      <c r="I2">
        <v>7581</v>
      </c>
      <c r="J2">
        <v>28</v>
      </c>
      <c r="K2" s="3">
        <v>1846</v>
      </c>
      <c r="L2" s="3">
        <v>17186</v>
      </c>
      <c r="M2" s="2">
        <v>587</v>
      </c>
      <c r="N2">
        <v>1527.41</v>
      </c>
      <c r="O2">
        <v>4261.8100000000004</v>
      </c>
    </row>
    <row r="3" spans="1:15" x14ac:dyDescent="0.25">
      <c r="A3" s="1">
        <v>2014</v>
      </c>
      <c r="B3">
        <v>3189890</v>
      </c>
      <c r="C3">
        <v>1631014</v>
      </c>
      <c r="D3">
        <v>417</v>
      </c>
      <c r="E3">
        <v>92435</v>
      </c>
      <c r="F3">
        <v>513336</v>
      </c>
      <c r="G3">
        <v>2940</v>
      </c>
      <c r="H3">
        <v>18</v>
      </c>
      <c r="I3">
        <v>6576</v>
      </c>
      <c r="J3">
        <v>27</v>
      </c>
      <c r="K3" s="3">
        <v>1811</v>
      </c>
      <c r="L3" s="3">
        <v>17351</v>
      </c>
      <c r="M3" s="2">
        <v>646</v>
      </c>
      <c r="N3">
        <v>1517.65</v>
      </c>
      <c r="O3">
        <v>4365.8599999999997</v>
      </c>
    </row>
    <row r="4" spans="1:15" x14ac:dyDescent="0.25">
      <c r="A4" s="1">
        <v>2015</v>
      </c>
      <c r="B4">
        <v>3292863</v>
      </c>
      <c r="C4">
        <v>1807953</v>
      </c>
      <c r="D4">
        <f>$D$3+($D$7-$D$3)*(1/4)</f>
        <v>1164</v>
      </c>
      <c r="E4">
        <v>94611</v>
      </c>
      <c r="F4">
        <v>548800</v>
      </c>
      <c r="G4">
        <v>3381</v>
      </c>
      <c r="H4">
        <v>18</v>
      </c>
      <c r="I4">
        <v>5241</v>
      </c>
      <c r="J4">
        <v>24</v>
      </c>
      <c r="K4" s="3">
        <v>1779</v>
      </c>
      <c r="L4" s="3">
        <v>17115</v>
      </c>
      <c r="M4" s="3">
        <v>1056</v>
      </c>
      <c r="N4">
        <v>1537.64</v>
      </c>
      <c r="O4">
        <v>4618.1099999999997</v>
      </c>
    </row>
    <row r="5" spans="1:15" x14ac:dyDescent="0.25">
      <c r="A5" s="1">
        <v>2016</v>
      </c>
      <c r="B5">
        <v>3337837</v>
      </c>
      <c r="C5">
        <v>1954086</v>
      </c>
      <c r="D5">
        <f>$D$3+($D$7-$D$3)*(2/4)</f>
        <v>1911</v>
      </c>
      <c r="E5">
        <v>93520</v>
      </c>
      <c r="F5">
        <v>570537</v>
      </c>
      <c r="G5">
        <v>3648</v>
      </c>
      <c r="H5">
        <v>18</v>
      </c>
      <c r="I5">
        <v>4444</v>
      </c>
      <c r="J5">
        <v>26</v>
      </c>
      <c r="K5" s="3">
        <v>1745</v>
      </c>
      <c r="L5" s="3">
        <v>17217</v>
      </c>
      <c r="M5" s="3">
        <v>1135</v>
      </c>
      <c r="N5">
        <v>1561.37</v>
      </c>
      <c r="O5">
        <v>4859.6400000000003</v>
      </c>
    </row>
    <row r="6" spans="1:15" x14ac:dyDescent="0.25">
      <c r="A6" s="1">
        <v>2017</v>
      </c>
      <c r="B6">
        <v>3422845</v>
      </c>
      <c r="C6">
        <v>2097056</v>
      </c>
      <c r="D6">
        <f>$D$3+($D$7-$D$3)*(3/4)</f>
        <v>2658</v>
      </c>
      <c r="E6">
        <v>93290</v>
      </c>
      <c r="F6">
        <v>591929</v>
      </c>
      <c r="G6">
        <v>4149</v>
      </c>
      <c r="H6">
        <v>16</v>
      </c>
      <c r="I6">
        <v>4094</v>
      </c>
      <c r="J6">
        <v>22</v>
      </c>
      <c r="K6" s="3">
        <v>1712</v>
      </c>
      <c r="L6" s="3">
        <v>17755</v>
      </c>
      <c r="M6" s="3">
        <v>1252</v>
      </c>
      <c r="N6">
        <v>1556.86</v>
      </c>
      <c r="O6">
        <v>4987.53</v>
      </c>
    </row>
    <row r="7" spans="1:15" x14ac:dyDescent="0.25">
      <c r="A7" s="1">
        <v>2018</v>
      </c>
      <c r="B7">
        <v>3390776</v>
      </c>
      <c r="C7">
        <v>2205495</v>
      </c>
      <c r="D7">
        <v>3405</v>
      </c>
      <c r="E7">
        <v>92747</v>
      </c>
      <c r="F7">
        <v>609249</v>
      </c>
      <c r="G7">
        <v>4266</v>
      </c>
      <c r="H7">
        <v>41</v>
      </c>
      <c r="I7">
        <v>4286</v>
      </c>
      <c r="J7">
        <v>33</v>
      </c>
      <c r="K7" s="3">
        <v>1679</v>
      </c>
      <c r="L7" s="3">
        <v>18005</v>
      </c>
      <c r="M7" s="3">
        <v>1587</v>
      </c>
      <c r="N7">
        <v>1576</v>
      </c>
      <c r="O7">
        <v>5092.5</v>
      </c>
    </row>
    <row r="8" spans="1:15" x14ac:dyDescent="0.25">
      <c r="A8" s="1">
        <v>2019</v>
      </c>
      <c r="B8">
        <v>3475194</v>
      </c>
      <c r="C8">
        <v>2313009</v>
      </c>
      <c r="D8">
        <v>4950</v>
      </c>
      <c r="E8">
        <v>83091</v>
      </c>
      <c r="F8">
        <v>623359</v>
      </c>
      <c r="G8">
        <v>13237</v>
      </c>
      <c r="H8">
        <v>39</v>
      </c>
      <c r="I8">
        <v>3917</v>
      </c>
      <c r="J8">
        <v>35</v>
      </c>
      <c r="K8" s="3">
        <v>1652</v>
      </c>
      <c r="L8" s="3">
        <v>18003</v>
      </c>
      <c r="M8" s="3">
        <v>1829</v>
      </c>
      <c r="N8">
        <v>1586.51</v>
      </c>
      <c r="O8">
        <v>5149.3599999999997</v>
      </c>
    </row>
    <row r="9" spans="1:15" x14ac:dyDescent="0.25">
      <c r="A9" s="1">
        <v>2020</v>
      </c>
      <c r="B9">
        <v>3521597</v>
      </c>
      <c r="C9">
        <v>2383488</v>
      </c>
      <c r="D9">
        <v>8109</v>
      </c>
      <c r="E9">
        <v>81751</v>
      </c>
      <c r="F9">
        <v>632478</v>
      </c>
      <c r="G9">
        <v>13862</v>
      </c>
      <c r="H9">
        <v>37</v>
      </c>
      <c r="I9">
        <v>3637</v>
      </c>
      <c r="J9">
        <v>32</v>
      </c>
      <c r="K9" s="3">
        <v>1636</v>
      </c>
      <c r="L9" s="3">
        <v>15610</v>
      </c>
      <c r="M9" s="3">
        <v>2008</v>
      </c>
      <c r="N9">
        <v>1419.29</v>
      </c>
      <c r="O9">
        <v>4869.46</v>
      </c>
    </row>
    <row r="10" spans="1:15" x14ac:dyDescent="0.25">
      <c r="A10" s="1">
        <v>2021</v>
      </c>
      <c r="B10">
        <v>3530046</v>
      </c>
      <c r="C10">
        <v>2410688</v>
      </c>
      <c r="D10">
        <v>9051</v>
      </c>
      <c r="E10">
        <v>80161</v>
      </c>
      <c r="F10">
        <v>637767</v>
      </c>
      <c r="G10">
        <v>14138</v>
      </c>
      <c r="H10">
        <v>37</v>
      </c>
      <c r="I10">
        <v>3520</v>
      </c>
      <c r="J10">
        <v>32</v>
      </c>
      <c r="K10" s="3">
        <v>1614</v>
      </c>
      <c r="L10" s="3">
        <v>16316</v>
      </c>
      <c r="M10" s="3">
        <v>1982</v>
      </c>
      <c r="N10">
        <v>1470.05</v>
      </c>
      <c r="O10">
        <v>5168.96</v>
      </c>
    </row>
    <row r="11" spans="1:15" x14ac:dyDescent="0.25">
      <c r="A11" s="1">
        <v>2022</v>
      </c>
      <c r="B11">
        <v>3633447</v>
      </c>
      <c r="C11">
        <v>2508001</v>
      </c>
      <c r="D11">
        <v>14195</v>
      </c>
      <c r="E11">
        <v>77492</v>
      </c>
      <c r="F11">
        <v>657323</v>
      </c>
      <c r="G11">
        <v>16789</v>
      </c>
      <c r="H11">
        <v>38</v>
      </c>
      <c r="I11">
        <v>3394</v>
      </c>
      <c r="J11">
        <v>29</v>
      </c>
      <c r="K11" s="3">
        <v>1592</v>
      </c>
      <c r="L11" s="3">
        <v>17218</v>
      </c>
      <c r="M11" s="3">
        <v>2018</v>
      </c>
      <c r="N11">
        <v>1548.06</v>
      </c>
      <c r="O11">
        <v>5242.3500000000004</v>
      </c>
    </row>
    <row r="12" spans="1:15" x14ac:dyDescent="0.25">
      <c r="A12" s="1">
        <v>2023</v>
      </c>
      <c r="B12">
        <v>3747918</v>
      </c>
      <c r="C12">
        <v>2587899</v>
      </c>
      <c r="D12">
        <v>22441</v>
      </c>
      <c r="E12">
        <v>77259</v>
      </c>
      <c r="F12">
        <v>677487</v>
      </c>
      <c r="G12">
        <v>17459</v>
      </c>
      <c r="H12">
        <v>35</v>
      </c>
      <c r="I12">
        <v>3318</v>
      </c>
      <c r="J12">
        <v>27</v>
      </c>
      <c r="K12" s="3">
        <v>1584</v>
      </c>
      <c r="L12" s="3">
        <v>17634</v>
      </c>
      <c r="M12" s="3">
        <v>2184</v>
      </c>
      <c r="N12">
        <v>1634.74</v>
      </c>
      <c r="O12">
        <v>5330.09</v>
      </c>
    </row>
    <row r="13" spans="1:15" x14ac:dyDescent="0.25">
      <c r="A13" s="1">
        <v>2024</v>
      </c>
      <c r="B13">
        <v>3816058</v>
      </c>
      <c r="C13">
        <v>2628141</v>
      </c>
      <c r="D13">
        <v>36341</v>
      </c>
      <c r="E13">
        <v>75731</v>
      </c>
      <c r="F13">
        <v>686764</v>
      </c>
      <c r="G13">
        <v>18076</v>
      </c>
      <c r="H13">
        <v>37</v>
      </c>
      <c r="I13">
        <v>3207</v>
      </c>
      <c r="J13">
        <v>25</v>
      </c>
      <c r="K13" s="3">
        <v>1561</v>
      </c>
      <c r="L13" s="3">
        <v>17989</v>
      </c>
      <c r="M13" s="3">
        <v>2208</v>
      </c>
      <c r="N13">
        <v>1732.58</v>
      </c>
      <c r="O13">
        <v>5478.87</v>
      </c>
    </row>
    <row r="14" spans="1:15" x14ac:dyDescent="0.25">
      <c r="N14">
        <v>1794.92</v>
      </c>
      <c r="O14">
        <v>5703.34</v>
      </c>
    </row>
    <row r="20" spans="1:20" x14ac:dyDescent="0.25">
      <c r="A20" t="s">
        <v>15</v>
      </c>
      <c r="B20">
        <v>20000</v>
      </c>
    </row>
    <row r="21" spans="1:20" x14ac:dyDescent="0.25">
      <c r="A21" t="s">
        <v>16</v>
      </c>
      <c r="B21">
        <v>50000</v>
      </c>
    </row>
    <row r="22" spans="1:20" x14ac:dyDescent="0.25">
      <c r="A22" t="s">
        <v>17</v>
      </c>
      <c r="B22">
        <v>125000</v>
      </c>
    </row>
    <row r="23" spans="1:20" x14ac:dyDescent="0.25">
      <c r="A23" t="s">
        <v>18</v>
      </c>
      <c r="B23">
        <v>80000</v>
      </c>
    </row>
    <row r="30" spans="1:20" x14ac:dyDescent="0.25"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EFD17-51A5-4C59-A6CB-4AD61F0961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Seiner Jakub</dc:creator>
  <cp:lastModifiedBy>Seiner Jakub</cp:lastModifiedBy>
  <dcterms:created xsi:type="dcterms:W3CDTF">2015-06-05T18:19:34Z</dcterms:created>
  <dcterms:modified xsi:type="dcterms:W3CDTF">2026-04-15T11:09:44Z</dcterms:modified>
</cp:coreProperties>
</file>